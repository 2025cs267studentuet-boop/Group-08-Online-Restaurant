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AICT project\"/>
    </mc:Choice>
  </mc:AlternateContent>
  <xr:revisionPtr revIDLastSave="0" documentId="13_ncr:1_{A6325F67-F1A1-4516-A96D-00F4E64F262C}" xr6:coauthVersionLast="47" xr6:coauthVersionMax="47" xr10:uidLastSave="{00000000-0000-0000-0000-000000000000}"/>
  <bookViews>
    <workbookView xWindow="-120" yWindow="-120" windowWidth="20730" windowHeight="11160" xr2:uid="{D090B324-A40D-428C-97E9-CA88BC4681A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13" i="1"/>
  <c r="D3" i="1"/>
  <c r="D4" i="1"/>
  <c r="D7" i="1" l="1"/>
  <c r="D8" i="1"/>
  <c r="D9" i="1"/>
  <c r="D6" i="1"/>
</calcChain>
</file>

<file path=xl/sharedStrings.xml><?xml version="1.0" encoding="utf-8"?>
<sst xmlns="http://schemas.openxmlformats.org/spreadsheetml/2006/main" count="12" uniqueCount="12">
  <si>
    <t>Metric</t>
  </si>
  <si>
    <t>Value</t>
  </si>
  <si>
    <t>Total Inventory Value</t>
  </si>
  <si>
    <t>Number of Low Stock Items</t>
  </si>
  <si>
    <t>Total Breakfast Items</t>
  </si>
  <si>
    <t>Total Soup Items</t>
  </si>
  <si>
    <t>Total Dessert Items</t>
  </si>
  <si>
    <t>Average Prices</t>
  </si>
  <si>
    <t>Total Starter Items</t>
  </si>
  <si>
    <t>Total Stock</t>
  </si>
  <si>
    <t>Number of High Stock Items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</si>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</sst>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8B0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  <a:r>
              <a:rPr lang="en-US" baseline="0"/>
              <a:t> and Stocks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[1]Sheet1!$B$4:$B$27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11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17</c:v>
                </c:pt>
                <c:pt idx="9">
                  <c:v>22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23</c:v>
                </c:pt>
                <c:pt idx="17">
                  <c:v>16</c:v>
                </c:pt>
                <c:pt idx="18">
                  <c:v>26</c:v>
                </c:pt>
                <c:pt idx="19">
                  <c:v>23</c:v>
                </c:pt>
                <c:pt idx="20">
                  <c:v>28</c:v>
                </c:pt>
                <c:pt idx="21">
                  <c:v>30</c:v>
                </c:pt>
                <c:pt idx="22">
                  <c:v>24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0-4ADA-979F-63164D33E76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[1]Sheet1!$C$4:$C$27</c:f>
              <c:numCache>
                <c:formatCode>General</c:formatCode>
                <c:ptCount val="24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50</c:v>
                </c:pt>
                <c:pt idx="6">
                  <c:v>22</c:v>
                </c:pt>
                <c:pt idx="7">
                  <c:v>29</c:v>
                </c:pt>
                <c:pt idx="8">
                  <c:v>40</c:v>
                </c:pt>
                <c:pt idx="9">
                  <c:v>45</c:v>
                </c:pt>
                <c:pt idx="10">
                  <c:v>32</c:v>
                </c:pt>
                <c:pt idx="11">
                  <c:v>43</c:v>
                </c:pt>
                <c:pt idx="12">
                  <c:v>60</c:v>
                </c:pt>
                <c:pt idx="13">
                  <c:v>53</c:v>
                </c:pt>
                <c:pt idx="14">
                  <c:v>12</c:v>
                </c:pt>
                <c:pt idx="15">
                  <c:v>16</c:v>
                </c:pt>
                <c:pt idx="16">
                  <c:v>43</c:v>
                </c:pt>
                <c:pt idx="17">
                  <c:v>30</c:v>
                </c:pt>
                <c:pt idx="18">
                  <c:v>65</c:v>
                </c:pt>
                <c:pt idx="19">
                  <c:v>14</c:v>
                </c:pt>
                <c:pt idx="20">
                  <c:v>47</c:v>
                </c:pt>
                <c:pt idx="21">
                  <c:v>55</c:v>
                </c:pt>
                <c:pt idx="22">
                  <c:v>57</c:v>
                </c:pt>
                <c:pt idx="2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0-4ADA-979F-63164D33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74048"/>
        <c:axId val="207475008"/>
      </c:barChart>
      <c:catAx>
        <c:axId val="2074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008"/>
        <c:crosses val="autoZero"/>
        <c:auto val="1"/>
        <c:lblAlgn val="ctr"/>
        <c:lblOffset val="100"/>
        <c:noMultiLvlLbl val="0"/>
      </c:catAx>
      <c:valAx>
        <c:axId val="2074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30A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Total Value ($)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[1]Sheet1!$D$4:$D$27</c:f>
              <c:numCache>
                <c:formatCode>General</c:formatCode>
                <c:ptCount val="24"/>
                <c:pt idx="0">
                  <c:v>260</c:v>
                </c:pt>
                <c:pt idx="1">
                  <c:v>180</c:v>
                </c:pt>
                <c:pt idx="2">
                  <c:v>450</c:v>
                </c:pt>
                <c:pt idx="3">
                  <c:v>275</c:v>
                </c:pt>
                <c:pt idx="4">
                  <c:v>665</c:v>
                </c:pt>
                <c:pt idx="5">
                  <c:v>1000</c:v>
                </c:pt>
                <c:pt idx="6">
                  <c:v>462</c:v>
                </c:pt>
                <c:pt idx="7">
                  <c:v>464</c:v>
                </c:pt>
                <c:pt idx="8">
                  <c:v>680</c:v>
                </c:pt>
                <c:pt idx="9">
                  <c:v>990</c:v>
                </c:pt>
                <c:pt idx="10">
                  <c:v>448</c:v>
                </c:pt>
                <c:pt idx="11">
                  <c:v>516</c:v>
                </c:pt>
                <c:pt idx="12">
                  <c:v>660</c:v>
                </c:pt>
                <c:pt idx="13">
                  <c:v>954</c:v>
                </c:pt>
                <c:pt idx="14">
                  <c:v>228</c:v>
                </c:pt>
                <c:pt idx="15">
                  <c:v>320</c:v>
                </c:pt>
                <c:pt idx="16">
                  <c:v>989</c:v>
                </c:pt>
                <c:pt idx="17">
                  <c:v>480</c:v>
                </c:pt>
                <c:pt idx="18">
                  <c:v>1690</c:v>
                </c:pt>
                <c:pt idx="19">
                  <c:v>322</c:v>
                </c:pt>
                <c:pt idx="20">
                  <c:v>1316</c:v>
                </c:pt>
                <c:pt idx="21">
                  <c:v>1650</c:v>
                </c:pt>
                <c:pt idx="22">
                  <c:v>1368</c:v>
                </c:pt>
                <c:pt idx="23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D-4E40-B6A2-7D4DFBC4E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027039"/>
        <c:axId val="115028479"/>
      </c:barChart>
      <c:catAx>
        <c:axId val="1150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479"/>
        <c:crosses val="autoZero"/>
        <c:auto val="1"/>
        <c:lblAlgn val="ctr"/>
        <c:lblOffset val="100"/>
        <c:noMultiLvlLbl val="0"/>
      </c:catAx>
      <c:valAx>
        <c:axId val="115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295274</xdr:colOff>
      <xdr:row>0</xdr:row>
      <xdr:rowOff>0</xdr:rowOff>
    </xdr:from>
    <xdr:to>
      <xdr:col>13</xdr:col>
      <xdr:colOff>304799</xdr:colOff>
      <xdr:row>14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AE91D6-5AF3-4BA7-A76C-672D7A417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21</xdr:col>
      <xdr:colOff>28575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829C5-8A68-4B25-9108-A08C233E9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F\AICT%20project\Calculations.xlsx" TargetMode="External"/><Relationship Id="rId1" Type="http://schemas.openxmlformats.org/officeDocument/2006/relationships/externalLinkPath" Target="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 t="str">
            <v>CRISPY FRIED CHICKEN</v>
          </cell>
          <cell r="B4">
            <v>13</v>
          </cell>
          <cell r="C4">
            <v>20</v>
          </cell>
          <cell r="D4">
            <v>260</v>
          </cell>
          <cell r="E4" t="str">
            <v>Low</v>
          </cell>
          <cell r="F4" t="str">
            <v>Fast Food</v>
          </cell>
        </row>
        <row r="5">
          <cell r="A5" t="str">
            <v>CHEESE PIZZA</v>
          </cell>
          <cell r="B5">
            <v>12</v>
          </cell>
          <cell r="C5">
            <v>15</v>
          </cell>
          <cell r="D5">
            <v>180</v>
          </cell>
          <cell r="E5" t="str">
            <v>Low</v>
          </cell>
          <cell r="F5" t="str">
            <v>Fast Food</v>
          </cell>
        </row>
        <row r="6">
          <cell r="A6" t="str">
            <v>MINI SLIDERS WITH FRIES</v>
          </cell>
          <cell r="B6">
            <v>15</v>
          </cell>
          <cell r="C6">
            <v>30</v>
          </cell>
          <cell r="D6">
            <v>450</v>
          </cell>
          <cell r="E6" t="str">
            <v>High</v>
          </cell>
          <cell r="F6" t="str">
            <v>Starter</v>
          </cell>
        </row>
        <row r="7">
          <cell r="A7" t="str">
            <v>GRILLED CLUB SANDWICH</v>
          </cell>
          <cell r="B7">
            <v>11</v>
          </cell>
          <cell r="C7">
            <v>25</v>
          </cell>
          <cell r="D7">
            <v>275</v>
          </cell>
          <cell r="E7" t="str">
            <v>High</v>
          </cell>
          <cell r="F7" t="str">
            <v>Fast Food</v>
          </cell>
        </row>
        <row r="8">
          <cell r="A8" t="str">
            <v>FRESH SPRING ROLLS</v>
          </cell>
          <cell r="B8">
            <v>19</v>
          </cell>
          <cell r="C8">
            <v>35</v>
          </cell>
          <cell r="D8">
            <v>665</v>
          </cell>
          <cell r="E8" t="str">
            <v>High</v>
          </cell>
          <cell r="F8" t="str">
            <v>Starter</v>
          </cell>
        </row>
        <row r="9">
          <cell r="A9" t="str">
            <v>SAMOSAS WITH CHUTNEY</v>
          </cell>
          <cell r="B9">
            <v>20</v>
          </cell>
          <cell r="C9">
            <v>50</v>
          </cell>
          <cell r="D9">
            <v>1000</v>
          </cell>
          <cell r="E9" t="str">
            <v>High</v>
          </cell>
          <cell r="F9" t="str">
            <v>Starter</v>
          </cell>
        </row>
        <row r="10">
          <cell r="A10" t="str">
            <v>FRESH FRIES WITH DIPS</v>
          </cell>
          <cell r="B10">
            <v>21</v>
          </cell>
          <cell r="C10">
            <v>22</v>
          </cell>
          <cell r="D10">
            <v>462</v>
          </cell>
          <cell r="E10" t="str">
            <v>Low</v>
          </cell>
          <cell r="F10" t="str">
            <v>Starter</v>
          </cell>
        </row>
        <row r="11">
          <cell r="A11" t="str">
            <v>FRESH GARDEN SALAD</v>
          </cell>
          <cell r="B11">
            <v>16</v>
          </cell>
          <cell r="C11">
            <v>29</v>
          </cell>
          <cell r="D11">
            <v>464</v>
          </cell>
          <cell r="E11" t="str">
            <v>High</v>
          </cell>
          <cell r="F11" t="str">
            <v>Fast Food</v>
          </cell>
        </row>
        <row r="12">
          <cell r="A12" t="str">
            <v>CHICKEN BURGER</v>
          </cell>
          <cell r="B12">
            <v>17</v>
          </cell>
          <cell r="C12">
            <v>40</v>
          </cell>
          <cell r="D12">
            <v>680</v>
          </cell>
          <cell r="E12" t="str">
            <v>High</v>
          </cell>
          <cell r="F12" t="str">
            <v>Fast Food</v>
          </cell>
        </row>
        <row r="13">
          <cell r="A13" t="str">
            <v>FRUIT &amp; YOGURT BOWL</v>
          </cell>
          <cell r="B13">
            <v>22</v>
          </cell>
          <cell r="C13">
            <v>45</v>
          </cell>
          <cell r="D13">
            <v>990</v>
          </cell>
          <cell r="E13" t="str">
            <v>High</v>
          </cell>
          <cell r="F13" t="str">
            <v>Breakfast</v>
          </cell>
        </row>
        <row r="14">
          <cell r="A14" t="str">
            <v>BOILED EGGS WITH GREENS</v>
          </cell>
          <cell r="B14">
            <v>14</v>
          </cell>
          <cell r="C14">
            <v>32</v>
          </cell>
          <cell r="D14">
            <v>448</v>
          </cell>
          <cell r="E14" t="str">
            <v>High</v>
          </cell>
          <cell r="F14" t="str">
            <v>Breakfast</v>
          </cell>
        </row>
        <row r="15">
          <cell r="A15" t="str">
            <v>MEDITERRANEAN PLATTER</v>
          </cell>
          <cell r="B15">
            <v>12</v>
          </cell>
          <cell r="C15">
            <v>43</v>
          </cell>
          <cell r="D15">
            <v>516</v>
          </cell>
          <cell r="E15" t="str">
            <v>High</v>
          </cell>
          <cell r="F15" t="str">
            <v>Fast Food</v>
          </cell>
        </row>
        <row r="16">
          <cell r="A16" t="str">
            <v>PUMPKIN SOUP</v>
          </cell>
          <cell r="B16">
            <v>11</v>
          </cell>
          <cell r="C16">
            <v>60</v>
          </cell>
          <cell r="D16">
            <v>660</v>
          </cell>
          <cell r="E16" t="str">
            <v>High</v>
          </cell>
          <cell r="F16" t="str">
            <v>Soup</v>
          </cell>
        </row>
        <row r="17">
          <cell r="A17" t="str">
            <v>VEGETABLE SOUP</v>
          </cell>
          <cell r="B17">
            <v>18</v>
          </cell>
          <cell r="C17">
            <v>53</v>
          </cell>
          <cell r="D17">
            <v>954</v>
          </cell>
          <cell r="E17" t="str">
            <v>High</v>
          </cell>
          <cell r="F17" t="str">
            <v>Soup</v>
          </cell>
        </row>
        <row r="18">
          <cell r="A18" t="str">
            <v>SPINACH CHICKEN</v>
          </cell>
          <cell r="B18">
            <v>19</v>
          </cell>
          <cell r="C18">
            <v>12</v>
          </cell>
          <cell r="D18">
            <v>228</v>
          </cell>
          <cell r="E18" t="str">
            <v>Low</v>
          </cell>
          <cell r="F18" t="str">
            <v>Fast Food</v>
          </cell>
        </row>
        <row r="19">
          <cell r="A19" t="str">
            <v>PASTA WITH VEGETABLES</v>
          </cell>
          <cell r="B19">
            <v>20</v>
          </cell>
          <cell r="C19">
            <v>16</v>
          </cell>
          <cell r="D19">
            <v>320</v>
          </cell>
          <cell r="E19" t="str">
            <v>Low</v>
          </cell>
          <cell r="F19" t="str">
            <v>Fast Food</v>
          </cell>
        </row>
        <row r="20">
          <cell r="A20" t="str">
            <v>DESSERT PLATE</v>
          </cell>
          <cell r="B20">
            <v>23</v>
          </cell>
          <cell r="C20">
            <v>43</v>
          </cell>
          <cell r="D20">
            <v>989</v>
          </cell>
          <cell r="E20" t="str">
            <v>High</v>
          </cell>
          <cell r="F20" t="str">
            <v>Fast Food</v>
          </cell>
        </row>
        <row r="21">
          <cell r="A21" t="str">
            <v>MIXED CHICKEN</v>
          </cell>
          <cell r="B21">
            <v>16</v>
          </cell>
          <cell r="C21">
            <v>30</v>
          </cell>
          <cell r="D21">
            <v>480</v>
          </cell>
          <cell r="E21" t="str">
            <v>High</v>
          </cell>
          <cell r="F21" t="str">
            <v>Fast Food</v>
          </cell>
        </row>
        <row r="22">
          <cell r="A22" t="str">
            <v>GRILLED MEAT</v>
          </cell>
          <cell r="B22">
            <v>26</v>
          </cell>
          <cell r="C22">
            <v>65</v>
          </cell>
          <cell r="D22">
            <v>1690</v>
          </cell>
          <cell r="E22" t="str">
            <v>High</v>
          </cell>
          <cell r="F22" t="str">
            <v>Fast Food</v>
          </cell>
        </row>
        <row r="23">
          <cell r="A23" t="str">
            <v>FRUIT PORRIDGE</v>
          </cell>
          <cell r="B23">
            <v>23</v>
          </cell>
          <cell r="C23">
            <v>14</v>
          </cell>
          <cell r="D23">
            <v>322</v>
          </cell>
          <cell r="E23" t="str">
            <v>Low</v>
          </cell>
          <cell r="F23" t="str">
            <v>Dessert</v>
          </cell>
        </row>
        <row r="24">
          <cell r="A24" t="str">
            <v>GRILLED FISH</v>
          </cell>
          <cell r="B24">
            <v>28</v>
          </cell>
          <cell r="C24">
            <v>47</v>
          </cell>
          <cell r="D24">
            <v>1316</v>
          </cell>
          <cell r="E24" t="str">
            <v>High</v>
          </cell>
          <cell r="F24" t="str">
            <v>Fast Food</v>
          </cell>
        </row>
        <row r="25">
          <cell r="A25" t="str">
            <v>BEEF STEEK</v>
          </cell>
          <cell r="B25">
            <v>30</v>
          </cell>
          <cell r="C25">
            <v>55</v>
          </cell>
          <cell r="D25">
            <v>1650</v>
          </cell>
          <cell r="E25" t="str">
            <v>High</v>
          </cell>
          <cell r="F25" t="str">
            <v>Fast Food</v>
          </cell>
        </row>
        <row r="26">
          <cell r="A26" t="str">
            <v>CHICKEN WRAP</v>
          </cell>
          <cell r="B26">
            <v>24</v>
          </cell>
          <cell r="C26">
            <v>57</v>
          </cell>
          <cell r="D26">
            <v>1368</v>
          </cell>
          <cell r="E26" t="str">
            <v>High</v>
          </cell>
          <cell r="F26" t="str">
            <v>Fast Food</v>
          </cell>
        </row>
        <row r="27">
          <cell r="A27" t="str">
            <v>CHOCOLATE CAKE</v>
          </cell>
          <cell r="B27">
            <v>45</v>
          </cell>
          <cell r="C27">
            <v>62</v>
          </cell>
          <cell r="D27">
            <v>2790</v>
          </cell>
          <cell r="E27" t="str">
            <v>High</v>
          </cell>
          <cell r="F27" t="str">
            <v>Dessert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D029-82EA-48D1-AC0D-3A56A4E622D5}">
  <dimension ref="A1:E16"/>
  <sheetViews>
    <sheetView tabSelected="1" zoomScaleNormal="100" workbookViewId="0">
      <selection activeCell="F8" sqref="F8"/>
    </sheetView>
  </sheetViews>
  <sheetFormatPr defaultRowHeight="15" x14ac:dyDescent="0.25"/>
  <cols>
    <col min="5" max="5" width="2.140625" customWidth="1"/>
  </cols>
  <sheetData>
    <row r="1" spans="1:5" x14ac:dyDescent="0.25">
      <c r="A1" s="5" t="s">
        <v>0</v>
      </c>
      <c r="B1" s="5"/>
      <c r="C1" s="5"/>
      <c r="D1" s="1" t="s">
        <v>1</v>
      </c>
      <c r="E1" s="1"/>
    </row>
    <row r="2" spans="1:5" ht="14.25" customHeight="1" x14ac:dyDescent="0.25">
      <c r="A2" s="5"/>
      <c r="B2" s="5"/>
      <c r="C2" s="5"/>
      <c r="D2" s="1"/>
      <c r="E2" s="1"/>
    </row>
    <row r="3" spans="1:5" ht="18" customHeight="1" x14ac:dyDescent="0.25">
      <c r="A3" s="6" t="s">
        <v>2</v>
      </c>
      <c r="B3" s="6"/>
      <c r="C3" s="6"/>
      <c r="D3" s="2">
        <f>SUM([1]Sheet1!D4:D27)</f>
        <v>19157</v>
      </c>
      <c r="E3" s="3"/>
    </row>
    <row r="4" spans="1:5" ht="18.75" customHeight="1" x14ac:dyDescent="0.25">
      <c r="A4" s="6" t="s">
        <v>7</v>
      </c>
      <c r="B4" s="6"/>
      <c r="C4" s="6"/>
      <c r="D4" s="2">
        <f>AVERAGE([1]Sheet1!B4:B27)</f>
        <v>19.791666666666668</v>
      </c>
      <c r="E4" s="3"/>
    </row>
    <row r="5" spans="1:5" ht="20.25" customHeight="1" x14ac:dyDescent="0.25">
      <c r="A5" s="6" t="s">
        <v>3</v>
      </c>
      <c r="B5" s="6"/>
      <c r="C5" s="6"/>
      <c r="D5" s="3">
        <f>COUNTIF([1]Sheet1!E4:E27, "Low")</f>
        <v>6</v>
      </c>
      <c r="E5" s="3"/>
    </row>
    <row r="6" spans="1:5" ht="19.5" customHeight="1" x14ac:dyDescent="0.25">
      <c r="A6" s="6" t="s">
        <v>4</v>
      </c>
      <c r="B6" s="6"/>
      <c r="C6" s="6"/>
      <c r="D6" s="3">
        <f>COUNTIF([1]Sheet1!F4:F27,"Breakfast")</f>
        <v>2</v>
      </c>
      <c r="E6" s="3"/>
    </row>
    <row r="7" spans="1:5" ht="20.25" customHeight="1" x14ac:dyDescent="0.25">
      <c r="A7" s="6" t="s">
        <v>5</v>
      </c>
      <c r="B7" s="6"/>
      <c r="C7" s="6"/>
      <c r="D7" s="3">
        <f>COUNTIF([1]Sheet1!F4:F27,"Soup")</f>
        <v>2</v>
      </c>
      <c r="E7" s="3"/>
    </row>
    <row r="8" spans="1:5" ht="19.5" customHeight="1" x14ac:dyDescent="0.25">
      <c r="A8" s="6" t="s">
        <v>6</v>
      </c>
      <c r="B8" s="6"/>
      <c r="C8" s="6"/>
      <c r="D8" s="3">
        <f>COUNTIF([1]Sheet1!F4:F27,"Dessert")</f>
        <v>2</v>
      </c>
      <c r="E8" s="3"/>
    </row>
    <row r="9" spans="1:5" ht="18.75" customHeight="1" x14ac:dyDescent="0.25">
      <c r="A9" s="6" t="s">
        <v>8</v>
      </c>
      <c r="B9" s="6"/>
      <c r="C9" s="6"/>
      <c r="D9" s="3">
        <f>COUNTIF([1]Sheet1!F4:F27,"Starter")</f>
        <v>4</v>
      </c>
      <c r="E9" s="3"/>
    </row>
    <row r="10" spans="1:5" ht="0.75" customHeight="1" x14ac:dyDescent="0.25">
      <c r="A10" s="6"/>
      <c r="B10" s="6"/>
      <c r="C10" s="6"/>
      <c r="D10" s="3"/>
      <c r="E10" s="3"/>
    </row>
    <row r="11" spans="1:5" ht="20.25" customHeight="1" x14ac:dyDescent="0.25">
      <c r="A11" s="6" t="s">
        <v>9</v>
      </c>
      <c r="B11" s="6"/>
      <c r="C11" s="6"/>
      <c r="D11" s="3">
        <v>900</v>
      </c>
      <c r="E11" s="3"/>
    </row>
    <row r="12" spans="1:5" ht="0.75" customHeight="1" x14ac:dyDescent="0.25">
      <c r="A12" s="6"/>
      <c r="B12" s="6"/>
      <c r="C12" s="6"/>
      <c r="D12" s="3"/>
      <c r="E12" s="3"/>
    </row>
    <row r="13" spans="1:5" ht="30.75" customHeight="1" x14ac:dyDescent="0.25">
      <c r="A13" s="6" t="s">
        <v>10</v>
      </c>
      <c r="B13" s="6"/>
      <c r="C13" s="6"/>
      <c r="D13" s="3">
        <f>COUNTIF([1]Sheet1!E4:E27,"High")</f>
        <v>18</v>
      </c>
      <c r="E13" s="3"/>
    </row>
    <row r="14" spans="1:5" ht="0.75" customHeight="1" x14ac:dyDescent="0.25">
      <c r="A14" s="6"/>
      <c r="B14" s="6"/>
      <c r="C14" s="6"/>
      <c r="D14" s="3"/>
      <c r="E14" s="3"/>
    </row>
    <row r="15" spans="1:5" x14ac:dyDescent="0.25">
      <c r="A15" s="6" t="s">
        <v>11</v>
      </c>
      <c r="B15" s="6"/>
      <c r="C15" s="6"/>
      <c r="D15" s="4">
        <v>475</v>
      </c>
      <c r="E15" s="4"/>
    </row>
    <row r="16" spans="1:5" x14ac:dyDescent="0.25">
      <c r="A16" s="6"/>
      <c r="B16" s="6"/>
      <c r="C16" s="6"/>
      <c r="D16" s="4"/>
      <c r="E16" s="4"/>
    </row>
  </sheetData>
  <mergeCells count="22">
    <mergeCell ref="A6:C6"/>
    <mergeCell ref="D6:E6"/>
    <mergeCell ref="A7:C7"/>
    <mergeCell ref="D7:E7"/>
    <mergeCell ref="A15:C16"/>
    <mergeCell ref="D15:E16"/>
    <mergeCell ref="A1:C2"/>
    <mergeCell ref="D1:E2"/>
    <mergeCell ref="A13:C14"/>
    <mergeCell ref="D13:E14"/>
    <mergeCell ref="D4:E4"/>
    <mergeCell ref="A4:C4"/>
    <mergeCell ref="D3:E3"/>
    <mergeCell ref="A3:C3"/>
    <mergeCell ref="A8:C8"/>
    <mergeCell ref="D8:E8"/>
    <mergeCell ref="A9:C10"/>
    <mergeCell ref="D9:E10"/>
    <mergeCell ref="A11:C12"/>
    <mergeCell ref="D11:E12"/>
    <mergeCell ref="A5:C5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2026-01-02T17:17:28Z</dcterms:created>
  <dcterms:modified xsi:type="dcterms:W3CDTF">2026-01-03T18:38:28Z</dcterms:modified>
</cp:coreProperties>
</file>